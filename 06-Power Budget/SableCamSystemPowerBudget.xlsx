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lex_\Downloads\"/>
    </mc:Choice>
  </mc:AlternateContent>
  <xr:revisionPtr revIDLastSave="0" documentId="8_{88BC6A95-26AF-4887-AC80-17893BB3494D}" xr6:coauthVersionLast="47" xr6:coauthVersionMax="47" xr10:uidLastSave="{00000000-0000-0000-0000-000000000000}"/>
  <bookViews>
    <workbookView xWindow="9495" yWindow="3990" windowWidth="28800" windowHeight="15345"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1" i="1" l="1"/>
  <c r="G53" i="1"/>
  <c r="G41" i="1"/>
  <c r="G33" i="1"/>
  <c r="G21" i="1"/>
  <c r="G13" i="1"/>
  <c r="G63" i="1"/>
  <c r="G57" i="1"/>
  <c r="G56" i="1"/>
  <c r="G55" i="1"/>
  <c r="G46" i="1"/>
  <c r="G38" i="1"/>
  <c r="G34" i="1"/>
  <c r="G36" i="1" s="1"/>
  <c r="G30" i="1"/>
  <c r="G25" i="1"/>
  <c r="G24" i="1"/>
  <c r="G23" i="1"/>
  <c r="G22" i="1"/>
  <c r="G15" i="1"/>
  <c r="G12" i="1"/>
  <c r="G11" i="1"/>
  <c r="G10" i="1"/>
  <c r="G9" i="1"/>
  <c r="G42" i="1" l="1"/>
  <c r="G44" i="1" s="1"/>
  <c r="G47" i="1"/>
  <c r="G66" i="1"/>
  <c r="G26" i="1"/>
  <c r="G28" i="1" s="1"/>
  <c r="G31" i="1" s="1"/>
  <c r="G39" i="1"/>
  <c r="G5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<sst xmlns="http://schemas.openxmlformats.org/spreadsheetml/2006/main" count="194" uniqueCount="80">
  <si>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</si>
  <si>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</si>
  <si>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</si>
  <si>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</si>
  <si>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</si>
  <si>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</si>
  <si>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</si>
  <si>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</si>
  <si>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</si>
  <si>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</si>
  <si>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</si>
  <si>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</si>
  <si>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</si>
  <si>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</si>
  <si>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</si>
  <si>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</si>
  <si>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</si>
  <si>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</si>
  <si>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c2. Regulator or Source Choice</t>
  </si>
  <si>
    <t>Total Remaining Current Available on +5V Rail</t>
  </si>
  <si>
    <t>c3. Regulator or Source Choice</t>
  </si>
  <si>
    <t>Total Remaining Current Available on -5V Rail</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</si>
  <si>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</si>
  <si>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</si>
  <si>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</si>
  <si>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</si>
  <si>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</si>
  <si>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</si>
  <si>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</si>
  <si>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</si>
  <si>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</si>
  <si>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</si>
  <si>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</si>
  <si>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Power Rails Connected to External Power Source 1</t>
  </si>
  <si>
    <t>Total Remaining Current Available on External Power Source 1</t>
  </si>
  <si>
    <t>External Power Source 2</t>
  </si>
  <si>
    <t>Power Source 2 Selection</t>
  </si>
  <si>
    <t xml:space="preserve"> +9V</t>
  </si>
  <si>
    <t>-9V</t>
  </si>
  <si>
    <t>Power Rails Connected to External Power Source 2</t>
  </si>
  <si>
    <t>Total Remaining Current Available on External Power Source 2</t>
  </si>
  <si>
    <t xml:space="preserve"> +12V</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</si>
  <si>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</si>
  <si>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</si>
  <si>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</si>
  <si>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Sable Camera Subsystem</t>
  </si>
  <si>
    <t>Armando Botiller, Lia Ryan, Matthew Sanderson, Manuel Castro, Khalid Hamdan, Vedaa Ubale</t>
  </si>
  <si>
    <t>ESP32-S3</t>
  </si>
  <si>
    <t>0930</t>
  </si>
  <si>
    <t>Yellow LED</t>
  </si>
  <si>
    <t>Green LED</t>
  </si>
  <si>
    <t>Red LED</t>
  </si>
  <si>
    <t>LM2575D2T-3.3R4G</t>
  </si>
  <si>
    <t>3.3 Voltage Regulator</t>
  </si>
  <si>
    <t>2.8 Voltage Regulator</t>
  </si>
  <si>
    <t>1.5 Voltage Regulator</t>
  </si>
  <si>
    <t>OV2640</t>
  </si>
  <si>
    <t xml:space="preserve"> +2.8 Power Rail</t>
  </si>
  <si>
    <t xml:space="preserve"> +1.5V Power Rail</t>
  </si>
  <si>
    <t>TPS7A0328PDBVR</t>
  </si>
  <si>
    <t>OV2640 Camera Sensor DVDD</t>
  </si>
  <si>
    <t>+2.8-3.3V</t>
  </si>
  <si>
    <t>OV2640 Camera Sensor AVDD</t>
  </si>
  <si>
    <t>OV2640 Camera Sensor DOVDD</t>
  </si>
  <si>
    <t>+1.7-2.8V</t>
  </si>
  <si>
    <t xml:space="preserve"> +1.2-1.5V</t>
  </si>
  <si>
    <t>Shared 12V DC 8 pin connector</t>
  </si>
  <si>
    <t xml:space="preserve"> +3.3V</t>
  </si>
  <si>
    <t>ESP32-S3-WROOM-1-N4</t>
  </si>
  <si>
    <t xml:space="preserve"> +3 - 3.6V</t>
  </si>
  <si>
    <t>LTST-C190TBKT</t>
  </si>
  <si>
    <t xml:space="preserve"> +1.5-6V</t>
  </si>
  <si>
    <t>Total Current Required on +2.8V Rail</t>
  </si>
  <si>
    <t>Total Current Required on +1.5V Rail</t>
  </si>
  <si>
    <t>TLV70015DDCR</t>
  </si>
  <si>
    <t xml:space="preserve"> +1.5-5.5V</t>
  </si>
  <si>
    <t xml:space="preserve"> +1.5V LDO Regulator</t>
  </si>
  <si>
    <t xml:space="preserve"> +2.8V LDO Regulator</t>
  </si>
  <si>
    <t xml:space="preserve"> +3.3V Switching Regulator</t>
  </si>
  <si>
    <t>Manny's Camera Subsystem Power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</si>
</sst>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
      <sz val="12"/>
      <color rgb="FF000000"/>
      <name val="Calibri"/>
      <family val="2"/>
    </font>
    <font>
      <sz val="12"/>
      <color rgb="FF000000"/>
      <name val="Arial"/>
      <family val="2"/>
    </font>
    <font>
      <b/>
      <i/>
      <sz val="12"/>
      <color rgb="FF000000"/>
      <name val="Arial"/>
      <family val="2"/>
    </font>
    <font>
      <b/>
      <sz val="24"/>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indexed="64"/>
      </right>
      <top/>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top/>
      <bottom style="thin">
        <color indexed="64"/>
      </bottom>
      <diagonal/>
    </border>
  </borders>
  <cellStyleXfs count="1">
    <xf numFmtId="0" fontId="0" fillId="0" borderId="0"/>
  </cellStyleXfs>
  <cellXfs count="76">
    <xf numFmtId="0" fontId="0" fillId="0" borderId="0" xfId="0"/>
    <xf numFmtId="0" fontId="1" fillId="0" borderId="1" xfId="0" applyFont="1" applyBorder="1"/>
    <xf numFmtId="0" fontId="2" fillId="0" borderId="1" xfId="0" applyFont="1" applyBorder="1"/>
    <xf numFmtId="0" fontId="1" fillId="0" borderId="0" xfId="0" applyFont="1" applyAlignment="1">
      <alignment horizontal="center"/>
    </xf>
    <xf numFmtId="0" fontId="3" fillId="0" borderId="1" xfId="0" applyFont="1" applyBorder="1"/>
    <xf numFmtId="0" fontId="1" fillId="0" borderId="0" xfId="0" applyFont="1"/>
    <xf numFmtId="0" fontId="3" fillId="0" borderId="0" xfId="0" applyFont="1"/>
    <xf numFmtId="0" fontId="3" fillId="3" borderId="2" xfId="0" applyFont="1" applyFill="1" applyBorder="1" applyAlignment="1">
      <alignment horizontal="center"/>
    </xf>
    <xf numFmtId="0" fontId="1"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Border="1"/>
    <xf numFmtId="0" fontId="5" fillId="0" borderId="0" xfId="0" applyFont="1" applyAlignment="1">
      <alignment horizontal="center"/>
    </xf>
    <xf numFmtId="0" fontId="0" fillId="0" borderId="0" xfId="0" applyAlignment="1">
      <alignment horizontal="center"/>
    </xf>
    <xf numFmtId="0" fontId="0" fillId="0" borderId="9" xfId="0" applyBorder="1"/>
    <xf numFmtId="0" fontId="5" fillId="0" borderId="9" xfId="0" applyFont="1" applyBorder="1"/>
    <xf numFmtId="0" fontId="5" fillId="0" borderId="0" xfId="0" applyFont="1"/>
    <xf numFmtId="0" fontId="1" fillId="0" borderId="8" xfId="0" applyFont="1" applyBorder="1"/>
    <xf numFmtId="0" fontId="3" fillId="0" borderId="0" xfId="0" applyFont="1" applyAlignment="1">
      <alignment horizontal="center"/>
    </xf>
    <xf numFmtId="0" fontId="1" fillId="0" borderId="9" xfId="0" applyFont="1" applyBorder="1"/>
    <xf numFmtId="0" fontId="4" fillId="3" borderId="10" xfId="0" applyFont="1" applyFill="1" applyBorder="1"/>
    <xf numFmtId="9" fontId="0" fillId="0" borderId="9" xfId="0" applyNumberFormat="1" applyBorder="1"/>
    <xf numFmtId="0" fontId="6" fillId="0" borderId="8" xfId="0" applyFont="1" applyBorder="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Border="1" applyAlignment="1">
      <alignment horizontal="right"/>
    </xf>
    <xf numFmtId="0" fontId="4" fillId="0" borderId="11" xfId="0" applyFont="1" applyBorder="1" applyAlignment="1">
      <alignment horizontal="left"/>
    </xf>
    <xf numFmtId="0" fontId="3" fillId="3" borderId="1" xfId="0" applyFont="1" applyFill="1" applyBorder="1" applyAlignment="1">
      <alignment horizontal="center"/>
    </xf>
    <xf numFmtId="0" fontId="4" fillId="0" borderId="8" xfId="0" applyFont="1" applyBorder="1" applyAlignment="1">
      <alignment wrapText="1"/>
    </xf>
    <xf numFmtId="0" fontId="4" fillId="0" borderId="0" xfId="0" applyFont="1" applyAlignment="1">
      <alignment wrapText="1"/>
    </xf>
    <xf numFmtId="0" fontId="4" fillId="0" borderId="8" xfId="0" applyFont="1" applyBorder="1"/>
    <xf numFmtId="0" fontId="4" fillId="0" borderId="9" xfId="0" applyFont="1" applyBorder="1"/>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5" fillId="0" borderId="14" xfId="0" applyFont="1" applyBorder="1"/>
    <xf numFmtId="0" fontId="3" fillId="0" borderId="9" xfId="0" applyFont="1" applyBorder="1" applyAlignment="1">
      <alignment horizontal="center"/>
    </xf>
    <xf numFmtId="0" fontId="3" fillId="0" borderId="14" xfId="0" applyFont="1" applyBorder="1" applyAlignment="1">
      <alignment horizontal="center"/>
    </xf>
    <xf numFmtId="0" fontId="0" fillId="2" borderId="0" xfId="0" applyFill="1"/>
    <xf numFmtId="0" fontId="0" fillId="0" borderId="0" xfId="0"/>
    <xf numFmtId="0" fontId="4" fillId="2" borderId="2" xfId="0" applyFont="1" applyFill="1" applyBorder="1" applyAlignment="1">
      <alignment wrapText="1"/>
    </xf>
    <xf numFmtId="0" fontId="2" fillId="0" borderId="3" xfId="0" applyFont="1" applyBorder="1"/>
    <xf numFmtId="0" fontId="2" fillId="0" borderId="4" xfId="0" applyFont="1" applyBorder="1"/>
    <xf numFmtId="0" fontId="6" fillId="0" borderId="0" xfId="0" applyFont="1" applyAlignment="1">
      <alignment horizontal="right"/>
    </xf>
    <xf numFmtId="49" fontId="4" fillId="0" borderId="12" xfId="0" applyNumberFormat="1" applyFont="1" applyBorder="1" applyAlignment="1">
      <alignment horizontal="right"/>
    </xf>
    <xf numFmtId="0" fontId="2" fillId="0" borderId="12" xfId="0" applyFont="1" applyBorder="1"/>
    <xf numFmtId="49" fontId="4" fillId="0" borderId="0" xfId="0" applyNumberFormat="1" applyFont="1" applyAlignment="1">
      <alignment horizontal="right"/>
    </xf>
    <xf numFmtId="0" fontId="4" fillId="0" borderId="11" xfId="0" applyFont="1" applyBorder="1" applyAlignment="1">
      <alignment wrapText="1"/>
    </xf>
    <xf numFmtId="0" fontId="2" fillId="0" borderId="13" xfId="0" applyFont="1" applyBorder="1"/>
    <xf numFmtId="0" fontId="5" fillId="0" borderId="0" xfId="0" applyFont="1" applyAlignment="1">
      <alignment wrapText="1"/>
    </xf>
    <xf numFmtId="0" fontId="8" fillId="4" borderId="0" xfId="0" applyFont="1" applyFill="1" applyAlignment="1">
      <alignment horizontal="left" wrapText="1"/>
    </xf>
    <xf numFmtId="0" fontId="3" fillId="0" borderId="8" xfId="0" applyFont="1" applyBorder="1" applyAlignment="1">
      <alignment horizontal="left" vertical="center" wrapText="1"/>
    </xf>
    <xf numFmtId="0" fontId="2" fillId="0" borderId="8" xfId="0" applyFont="1" applyBorder="1"/>
    <xf numFmtId="0" fontId="4" fillId="2" borderId="0" xfId="0" applyFont="1" applyFill="1"/>
    <xf numFmtId="0" fontId="1" fillId="0" borderId="1" xfId="0" applyFont="1" applyBorder="1" applyAlignment="1">
      <alignment wrapText="1"/>
    </xf>
    <xf numFmtId="0" fontId="9" fillId="0" borderId="0" xfId="0" applyFont="1"/>
    <xf numFmtId="0" fontId="10" fillId="0" borderId="0" xfId="0" applyFont="1"/>
    <xf numFmtId="0" fontId="11" fillId="3" borderId="10" xfId="0" applyFont="1" applyFill="1" applyBorder="1"/>
    <xf numFmtId="0" fontId="9" fillId="0" borderId="0" xfId="0" applyFont="1" applyAlignment="1">
      <alignment vertical="center" wrapText="1"/>
    </xf>
    <xf numFmtId="49" fontId="10" fillId="0" borderId="0" xfId="0" applyNumberFormat="1" applyFont="1" applyAlignment="1">
      <alignment horizontal="center"/>
    </xf>
    <xf numFmtId="0" fontId="10" fillId="0" borderId="0" xfId="0" applyFont="1" applyAlignment="1">
      <alignment horizontal="center"/>
    </xf>
    <xf numFmtId="0" fontId="10" fillId="0" borderId="0" xfId="0" applyFont="1" applyAlignment="1">
      <alignment horizontal="left"/>
    </xf>
    <xf numFmtId="0" fontId="0" fillId="0" borderId="15" xfId="0" applyBorder="1"/>
    <xf numFmtId="0" fontId="11" fillId="0" borderId="0" xfId="0" applyFont="1" applyAlignment="1">
      <alignment horizontal="right"/>
    </xf>
    <xf numFmtId="0" fontId="6" fillId="0" borderId="17" xfId="0" applyFont="1" applyBorder="1"/>
    <xf numFmtId="0" fontId="5" fillId="0" borderId="18" xfId="0" applyFont="1" applyBorder="1"/>
    <xf numFmtId="0" fontId="0" fillId="0" borderId="18" xfId="0" applyBorder="1"/>
    <xf numFmtId="0" fontId="7" fillId="0" borderId="18" xfId="0" applyFont="1" applyBorder="1"/>
    <xf numFmtId="0" fontId="5" fillId="0" borderId="18" xfId="0" applyFont="1" applyBorder="1" applyAlignment="1">
      <alignment horizontal="center"/>
    </xf>
    <xf numFmtId="0" fontId="0" fillId="0" borderId="16" xfId="0" applyBorder="1"/>
    <xf numFmtId="0" fontId="0" fillId="0" borderId="16" xfId="0" applyBorder="1" applyAlignment="1">
      <alignment horizontal="center"/>
    </xf>
    <xf numFmtId="0" fontId="12"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2"/>
  <sheetViews>
    <sheetView tabSelected="1" workbookViewId="0">
      <selection sqref="A1:H1"/>
    </sheetView>
  </sheetViews>
  <sheetFormatPr defaultColWidth="13.5" defaultRowHeight="15.75" customHeight="1" x14ac:dyDescent="0.25"/>
  <cols>
    <col min="1" max="1" width="31.75" bestFit="1" customWidth="1"/>
    <col min="2" max="2" width="34.875" customWidth="1"/>
    <col min="3" max="3" width="20.875" bestFit="1" customWidth="1"/>
    <col min="4" max="4" width="24.75" bestFit="1" customWidth="1"/>
    <col min="5" max="5" width="6.875" customWidth="1"/>
    <col min="6" max="6" width="34.625" bestFit="1" customWidth="1"/>
    <col min="7" max="7" width="26.5" bestFit="1" customWidth="1"/>
    <col min="8" max="8" width="9" customWidth="1"/>
  </cols>
  <sheetData>
    <row r="1" spans="1:8" ht="30" customHeight="1" x14ac:dyDescent="0.5">
      <c r="A1" s="75" t="s">
        <v>79</v>
      </c>
      <c r="B1" s="43"/>
      <c r="C1" s="43"/>
      <c r="D1" s="43"/>
      <c r="E1" s="43"/>
      <c r="F1" s="43"/>
      <c r="G1" s="43"/>
      <c r="H1" s="43"/>
    </row>
    <row r="2" spans="1:8" ht="15" customHeight="1" x14ac:dyDescent="0.25">
      <c r="A2" s="1" t="s">
        <v>0</v>
      </c>
      <c r="B2" s="2">
        <v>303</v>
      </c>
      <c r="D2" s="3"/>
      <c r="E2" s="3"/>
    </row>
    <row r="3" spans="1:8" ht="15" customHeight="1" x14ac:dyDescent="0.25">
      <c r="A3" s="4" t="s">
        <v>1</v>
      </c>
      <c r="B3" s="1" t="s">
        <v>45</v>
      </c>
      <c r="C3" s="5"/>
      <c r="D3" s="3"/>
      <c r="E3" s="3"/>
      <c r="F3" s="5"/>
      <c r="G3" s="5"/>
      <c r="H3" s="5"/>
    </row>
    <row r="4" spans="1:8" ht="45.75" customHeight="1" x14ac:dyDescent="0.25">
      <c r="A4" s="4" t="s">
        <v>2</v>
      </c>
      <c r="B4" s="58" t="s">
        <v>46</v>
      </c>
      <c r="C4" s="5"/>
      <c r="D4" s="3"/>
      <c r="E4" s="3"/>
      <c r="F4" s="5"/>
      <c r="G4" s="5"/>
      <c r="H4" s="5"/>
    </row>
    <row r="5" spans="1:8" ht="15" customHeight="1" x14ac:dyDescent="0.25">
      <c r="A5" s="4" t="s">
        <v>3</v>
      </c>
      <c r="B5" s="1">
        <v>1</v>
      </c>
      <c r="C5" s="5"/>
      <c r="D5" s="3"/>
      <c r="E5" s="3"/>
      <c r="F5" s="5"/>
      <c r="G5" s="5"/>
      <c r="H5" s="5"/>
    </row>
    <row r="6" spans="1:8" ht="15" customHeight="1" x14ac:dyDescent="0.25">
      <c r="A6" s="6"/>
      <c r="B6" s="5"/>
      <c r="C6" s="5"/>
      <c r="D6" s="3"/>
      <c r="E6" s="3"/>
      <c r="F6" s="5"/>
      <c r="G6" s="5"/>
      <c r="H6" s="5"/>
    </row>
    <row r="7" spans="1:8" ht="15" customHeight="1" x14ac:dyDescent="0.25">
      <c r="A7" s="44" t="s">
        <v>4</v>
      </c>
      <c r="B7" s="45"/>
      <c r="C7" s="45"/>
      <c r="D7" s="45"/>
      <c r="E7" s="45"/>
      <c r="F7" s="45"/>
      <c r="G7" s="45"/>
      <c r="H7" s="46"/>
    </row>
    <row r="8" spans="1:8" ht="15" customHeight="1" x14ac:dyDescent="0.25">
      <c r="A8" s="7" t="s">
        <v>5</v>
      </c>
      <c r="B8" s="8" t="s">
        <v>6</v>
      </c>
      <c r="C8" s="8" t="s">
        <v>7</v>
      </c>
      <c r="D8" s="9" t="s">
        <v>8</v>
      </c>
      <c r="E8" s="9" t="s">
        <v>9</v>
      </c>
      <c r="F8" s="10" t="s">
        <v>10</v>
      </c>
      <c r="G8" s="11" t="s">
        <v>11</v>
      </c>
      <c r="H8" s="11" t="s">
        <v>12</v>
      </c>
    </row>
    <row r="9" spans="1:8" ht="15" customHeight="1" x14ac:dyDescent="0.25">
      <c r="A9" s="12"/>
      <c r="B9" t="s">
        <v>47</v>
      </c>
      <c r="C9" s="59" t="s">
        <v>68</v>
      </c>
      <c r="D9" s="64" t="s">
        <v>69</v>
      </c>
      <c r="E9" s="14">
        <v>1</v>
      </c>
      <c r="F9">
        <v>500</v>
      </c>
      <c r="G9" s="15">
        <f t="shared" ref="G9:G15" si="0">E9*F9</f>
        <v>500</v>
      </c>
      <c r="H9" s="16" t="s">
        <v>14</v>
      </c>
    </row>
    <row r="10" spans="1:8" ht="15" customHeight="1" x14ac:dyDescent="0.25">
      <c r="A10" s="12"/>
      <c r="B10" s="59" t="s">
        <v>49</v>
      </c>
      <c r="C10" s="59" t="s">
        <v>70</v>
      </c>
      <c r="D10" s="64" t="s">
        <v>67</v>
      </c>
      <c r="E10" s="14">
        <v>1</v>
      </c>
      <c r="F10">
        <v>20</v>
      </c>
      <c r="G10" s="15">
        <f t="shared" si="0"/>
        <v>20</v>
      </c>
      <c r="H10" s="16" t="s">
        <v>14</v>
      </c>
    </row>
    <row r="11" spans="1:8" ht="15" customHeight="1" x14ac:dyDescent="0.25">
      <c r="A11" s="12"/>
      <c r="B11" s="59" t="s">
        <v>50</v>
      </c>
      <c r="C11" t="s">
        <v>70</v>
      </c>
      <c r="D11" s="64" t="s">
        <v>67</v>
      </c>
      <c r="E11" s="14">
        <v>2</v>
      </c>
      <c r="F11">
        <v>20</v>
      </c>
      <c r="G11" s="15">
        <f t="shared" si="0"/>
        <v>40</v>
      </c>
      <c r="H11" s="16" t="s">
        <v>14</v>
      </c>
    </row>
    <row r="12" spans="1:8" ht="15" customHeight="1" x14ac:dyDescent="0.25">
      <c r="A12" s="12"/>
      <c r="B12" s="59" t="s">
        <v>51</v>
      </c>
      <c r="C12" t="s">
        <v>70</v>
      </c>
      <c r="D12" s="64" t="s">
        <v>67</v>
      </c>
      <c r="E12" s="13">
        <v>2</v>
      </c>
      <c r="F12" s="17">
        <v>20</v>
      </c>
      <c r="G12" s="15">
        <f t="shared" si="0"/>
        <v>40</v>
      </c>
      <c r="H12" s="16" t="s">
        <v>14</v>
      </c>
    </row>
    <row r="13" spans="1:8" ht="15" customHeight="1" x14ac:dyDescent="0.25">
      <c r="A13" s="12"/>
      <c r="B13" s="59" t="s">
        <v>62</v>
      </c>
      <c r="C13" s="60" t="s">
        <v>56</v>
      </c>
      <c r="D13" s="63" t="s">
        <v>61</v>
      </c>
      <c r="E13" s="13">
        <v>1</v>
      </c>
      <c r="F13" s="17">
        <v>100</v>
      </c>
      <c r="G13" s="15">
        <f t="shared" si="0"/>
        <v>100</v>
      </c>
      <c r="H13" s="16" t="s">
        <v>14</v>
      </c>
    </row>
    <row r="14" spans="1:8" ht="15" customHeight="1" x14ac:dyDescent="0.25">
      <c r="A14" s="12"/>
      <c r="B14" s="59" t="s">
        <v>63</v>
      </c>
      <c r="C14" s="60" t="s">
        <v>56</v>
      </c>
      <c r="D14" s="63" t="s">
        <v>64</v>
      </c>
      <c r="E14" s="13">
        <v>1</v>
      </c>
      <c r="F14" s="17">
        <v>100</v>
      </c>
      <c r="G14" s="15">
        <v>100</v>
      </c>
      <c r="H14" s="16" t="s">
        <v>14</v>
      </c>
    </row>
    <row r="15" spans="1:8" ht="15" customHeight="1" x14ac:dyDescent="0.25">
      <c r="A15" s="12"/>
      <c r="B15" s="59" t="s">
        <v>60</v>
      </c>
      <c r="C15" s="60" t="s">
        <v>56</v>
      </c>
      <c r="D15" s="64" t="s">
        <v>65</v>
      </c>
      <c r="E15" s="14">
        <v>1</v>
      </c>
      <c r="F15">
        <v>30</v>
      </c>
      <c r="G15" s="15">
        <f t="shared" si="0"/>
        <v>30</v>
      </c>
      <c r="H15" s="16" t="s">
        <v>14</v>
      </c>
    </row>
    <row r="16" spans="1:8" ht="15" customHeight="1" x14ac:dyDescent="0.25">
      <c r="A16" s="12"/>
      <c r="B16" s="59" t="s">
        <v>53</v>
      </c>
      <c r="C16" s="62" t="s">
        <v>52</v>
      </c>
      <c r="D16" s="64" t="s">
        <v>67</v>
      </c>
      <c r="E16" s="14">
        <v>1</v>
      </c>
      <c r="F16">
        <v>350</v>
      </c>
      <c r="G16" s="15">
        <v>350</v>
      </c>
      <c r="H16" s="16" t="s">
        <v>14</v>
      </c>
    </row>
    <row r="17" spans="1:8" ht="15" customHeight="1" x14ac:dyDescent="0.25">
      <c r="A17" s="12"/>
      <c r="B17" s="59" t="s">
        <v>54</v>
      </c>
      <c r="C17" s="59" t="s">
        <v>59</v>
      </c>
      <c r="D17" s="64" t="s">
        <v>71</v>
      </c>
      <c r="E17" s="14">
        <v>1</v>
      </c>
      <c r="F17" s="66">
        <v>200</v>
      </c>
      <c r="G17" s="60">
        <v>200</v>
      </c>
      <c r="H17" s="16" t="s">
        <v>14</v>
      </c>
    </row>
    <row r="18" spans="1:8" ht="15" customHeight="1" x14ac:dyDescent="0.25">
      <c r="A18" s="18"/>
      <c r="B18" s="59" t="s">
        <v>55</v>
      </c>
      <c r="C18" s="59" t="s">
        <v>74</v>
      </c>
      <c r="D18" s="64" t="s">
        <v>75</v>
      </c>
      <c r="E18" s="14">
        <v>1</v>
      </c>
      <c r="F18" s="66">
        <v>200</v>
      </c>
      <c r="G18" s="20"/>
      <c r="H18" s="16" t="s">
        <v>14</v>
      </c>
    </row>
    <row r="19" spans="1:8" ht="15" customHeight="1" x14ac:dyDescent="0.25">
      <c r="A19" s="44" t="s">
        <v>15</v>
      </c>
      <c r="B19" s="45"/>
      <c r="C19" s="45"/>
      <c r="D19" s="45"/>
      <c r="E19" s="45"/>
      <c r="F19" s="45"/>
      <c r="G19" s="45"/>
      <c r="H19" s="46"/>
    </row>
    <row r="20" spans="1:8" ht="15" customHeight="1" x14ac:dyDescent="0.25">
      <c r="A20" s="61" t="s">
        <v>22</v>
      </c>
      <c r="B20" s="8" t="s">
        <v>6</v>
      </c>
      <c r="C20" s="8" t="s">
        <v>7</v>
      </c>
      <c r="D20" s="9" t="s">
        <v>8</v>
      </c>
      <c r="E20" s="9" t="s">
        <v>9</v>
      </c>
      <c r="F20" s="10" t="s">
        <v>10</v>
      </c>
      <c r="G20" s="29" t="s">
        <v>11</v>
      </c>
      <c r="H20" s="29" t="s">
        <v>12</v>
      </c>
    </row>
    <row r="21" spans="1:8" ht="15" customHeight="1" x14ac:dyDescent="0.25">
      <c r="A21" s="12"/>
      <c r="B21" t="s">
        <v>47</v>
      </c>
      <c r="C21" s="59" t="s">
        <v>68</v>
      </c>
      <c r="D21" s="64" t="s">
        <v>69</v>
      </c>
      <c r="E21" s="14">
        <v>1</v>
      </c>
      <c r="F21">
        <v>500</v>
      </c>
      <c r="G21" s="15">
        <f>E21*F21</f>
        <v>500</v>
      </c>
      <c r="H21" s="16" t="s">
        <v>14</v>
      </c>
    </row>
    <row r="22" spans="1:8" ht="15" customHeight="1" x14ac:dyDescent="0.25">
      <c r="A22" s="12"/>
      <c r="B22" s="59" t="s">
        <v>49</v>
      </c>
      <c r="C22" s="59" t="s">
        <v>70</v>
      </c>
      <c r="D22" s="64" t="s">
        <v>67</v>
      </c>
      <c r="E22" s="14">
        <v>1</v>
      </c>
      <c r="F22">
        <v>20</v>
      </c>
      <c r="G22" s="15">
        <f t="shared" ref="G22:G25" si="1">E22*F22</f>
        <v>20</v>
      </c>
      <c r="H22" s="16" t="s">
        <v>14</v>
      </c>
    </row>
    <row r="23" spans="1:8" ht="15" customHeight="1" x14ac:dyDescent="0.25">
      <c r="A23" s="12"/>
      <c r="B23" s="59" t="s">
        <v>50</v>
      </c>
      <c r="C23" t="s">
        <v>70</v>
      </c>
      <c r="D23" s="64" t="s">
        <v>67</v>
      </c>
      <c r="E23" s="14">
        <v>2</v>
      </c>
      <c r="F23">
        <v>20</v>
      </c>
      <c r="G23" s="15">
        <f t="shared" si="1"/>
        <v>40</v>
      </c>
      <c r="H23" s="16" t="s">
        <v>14</v>
      </c>
    </row>
    <row r="24" spans="1:8" ht="15" customHeight="1" x14ac:dyDescent="0.25">
      <c r="A24" s="12"/>
      <c r="B24" s="59" t="s">
        <v>51</v>
      </c>
      <c r="C24" t="s">
        <v>70</v>
      </c>
      <c r="D24" s="64" t="s">
        <v>67</v>
      </c>
      <c r="E24" s="13">
        <v>2</v>
      </c>
      <c r="F24" s="17">
        <v>20</v>
      </c>
      <c r="G24" s="15">
        <f t="shared" si="1"/>
        <v>40</v>
      </c>
      <c r="H24" s="16" t="s">
        <v>14</v>
      </c>
    </row>
    <row r="25" spans="1:8" ht="15" customHeight="1" x14ac:dyDescent="0.25">
      <c r="A25" s="12"/>
      <c r="B25" s="59" t="s">
        <v>62</v>
      </c>
      <c r="C25" s="60" t="s">
        <v>56</v>
      </c>
      <c r="D25" s="63" t="s">
        <v>61</v>
      </c>
      <c r="E25" s="13">
        <v>1</v>
      </c>
      <c r="F25" s="17">
        <v>100</v>
      </c>
      <c r="G25" s="15">
        <f t="shared" si="1"/>
        <v>100</v>
      </c>
      <c r="H25" s="16" t="s">
        <v>14</v>
      </c>
    </row>
    <row r="26" spans="1:8" ht="15" customHeight="1" x14ac:dyDescent="0.25">
      <c r="A26" s="12"/>
      <c r="B26" s="47" t="s">
        <v>16</v>
      </c>
      <c r="C26" s="43"/>
      <c r="D26" s="43"/>
      <c r="E26" s="43"/>
      <c r="F26" s="43"/>
      <c r="G26" s="15">
        <f>SUM(G21:G25)</f>
        <v>700</v>
      </c>
      <c r="H26" s="16" t="s">
        <v>14</v>
      </c>
    </row>
    <row r="27" spans="1:8" ht="15" customHeight="1" x14ac:dyDescent="0.25">
      <c r="A27" s="12"/>
      <c r="B27" s="47" t="s">
        <v>17</v>
      </c>
      <c r="C27" s="43"/>
      <c r="D27" s="43"/>
      <c r="E27" s="43"/>
      <c r="F27" s="43"/>
      <c r="G27" s="22">
        <v>0.25</v>
      </c>
      <c r="H27" s="22"/>
    </row>
    <row r="28" spans="1:8" ht="15" customHeight="1" x14ac:dyDescent="0.25">
      <c r="A28" s="23"/>
      <c r="B28" s="67" t="s">
        <v>23</v>
      </c>
      <c r="C28" s="43"/>
      <c r="D28" s="43"/>
      <c r="E28" s="43"/>
      <c r="F28" s="43"/>
      <c r="G28" s="15">
        <f>G26*(1+G27)</f>
        <v>875</v>
      </c>
      <c r="H28" s="16" t="s">
        <v>14</v>
      </c>
    </row>
    <row r="29" spans="1:8" ht="15" customHeight="1" x14ac:dyDescent="0.25">
      <c r="A29" s="24"/>
      <c r="B29" s="25"/>
      <c r="C29" s="25"/>
      <c r="D29" s="13"/>
      <c r="E29" s="13"/>
      <c r="F29" s="26"/>
      <c r="G29" s="27"/>
      <c r="H29" s="15"/>
    </row>
    <row r="30" spans="1:8" ht="15" customHeight="1" x14ac:dyDescent="0.25">
      <c r="A30" s="24" t="s">
        <v>18</v>
      </c>
      <c r="B30" s="65" t="s">
        <v>78</v>
      </c>
      <c r="C30" s="62" t="s">
        <v>52</v>
      </c>
      <c r="D30" s="64" t="s">
        <v>67</v>
      </c>
      <c r="E30" s="13">
        <v>1</v>
      </c>
      <c r="F30" s="26">
        <v>1000</v>
      </c>
      <c r="G30" s="27">
        <f>E30*F30</f>
        <v>1000</v>
      </c>
      <c r="H30" s="16" t="s">
        <v>14</v>
      </c>
    </row>
    <row r="31" spans="1:8" ht="15" customHeight="1" x14ac:dyDescent="0.25">
      <c r="A31" s="28"/>
      <c r="B31" s="48" t="s">
        <v>19</v>
      </c>
      <c r="C31" s="49"/>
      <c r="D31" s="49"/>
      <c r="E31" s="49"/>
      <c r="F31" s="49"/>
      <c r="G31" s="27">
        <f>G30-G28</f>
        <v>125</v>
      </c>
      <c r="H31" s="16" t="s">
        <v>14</v>
      </c>
    </row>
    <row r="32" spans="1:8" ht="15" customHeight="1" x14ac:dyDescent="0.25">
      <c r="A32" s="61" t="s">
        <v>57</v>
      </c>
      <c r="B32" s="8" t="s">
        <v>6</v>
      </c>
      <c r="C32" s="8" t="s">
        <v>7</v>
      </c>
      <c r="D32" s="9" t="s">
        <v>8</v>
      </c>
      <c r="E32" s="9" t="s">
        <v>9</v>
      </c>
      <c r="F32" s="10" t="s">
        <v>10</v>
      </c>
      <c r="G32" s="29" t="s">
        <v>11</v>
      </c>
      <c r="H32" s="29" t="s">
        <v>12</v>
      </c>
    </row>
    <row r="33" spans="1:8" ht="15" customHeight="1" x14ac:dyDescent="0.25">
      <c r="A33" s="12"/>
      <c r="B33" s="59" t="s">
        <v>63</v>
      </c>
      <c r="C33" s="60" t="s">
        <v>56</v>
      </c>
      <c r="D33" s="63" t="s">
        <v>64</v>
      </c>
      <c r="E33" s="13">
        <v>1</v>
      </c>
      <c r="F33" s="17">
        <v>100</v>
      </c>
      <c r="G33" s="15">
        <f>E33*F33</f>
        <v>100</v>
      </c>
      <c r="H33" s="16" t="s">
        <v>14</v>
      </c>
    </row>
    <row r="34" spans="1:8" ht="15" customHeight="1" x14ac:dyDescent="0.25">
      <c r="A34" s="12"/>
      <c r="B34" s="47" t="s">
        <v>16</v>
      </c>
      <c r="C34" s="43"/>
      <c r="D34" s="43"/>
      <c r="E34" s="43"/>
      <c r="F34" s="43"/>
      <c r="G34" s="15">
        <f>SUM(G32:G33)</f>
        <v>100</v>
      </c>
      <c r="H34" s="16" t="s">
        <v>14</v>
      </c>
    </row>
    <row r="35" spans="1:8" ht="15" customHeight="1" x14ac:dyDescent="0.25">
      <c r="A35" s="12"/>
      <c r="B35" s="47" t="s">
        <v>17</v>
      </c>
      <c r="C35" s="43"/>
      <c r="D35" s="43"/>
      <c r="E35" s="43"/>
      <c r="F35" s="43"/>
      <c r="G35" s="22">
        <v>0.25</v>
      </c>
      <c r="H35" s="22"/>
    </row>
    <row r="36" spans="1:8" ht="15" customHeight="1" x14ac:dyDescent="0.25">
      <c r="A36" s="12"/>
      <c r="B36" s="67" t="s">
        <v>72</v>
      </c>
      <c r="C36" s="43"/>
      <c r="D36" s="43"/>
      <c r="E36" s="43"/>
      <c r="F36" s="43"/>
      <c r="G36" s="15">
        <f>G34*(1+G35)</f>
        <v>125</v>
      </c>
      <c r="H36" s="16" t="s">
        <v>14</v>
      </c>
    </row>
    <row r="37" spans="1:8" ht="15" customHeight="1" x14ac:dyDescent="0.25">
      <c r="A37" s="24"/>
      <c r="B37" s="25"/>
      <c r="C37" s="25"/>
      <c r="D37" s="13"/>
      <c r="E37" s="13"/>
      <c r="F37" s="26"/>
      <c r="G37" s="27"/>
      <c r="H37" s="15"/>
    </row>
    <row r="38" spans="1:8" ht="15" customHeight="1" x14ac:dyDescent="0.25">
      <c r="A38" s="24" t="s">
        <v>20</v>
      </c>
      <c r="B38" s="65" t="s">
        <v>77</v>
      </c>
      <c r="C38" s="59" t="s">
        <v>59</v>
      </c>
      <c r="D38" s="64" t="s">
        <v>71</v>
      </c>
      <c r="E38" s="14">
        <v>1</v>
      </c>
      <c r="F38" s="66">
        <v>200</v>
      </c>
      <c r="G38" s="27">
        <f>E38*F38</f>
        <v>200</v>
      </c>
      <c r="H38" s="16" t="s">
        <v>14</v>
      </c>
    </row>
    <row r="39" spans="1:8" ht="15" customHeight="1" x14ac:dyDescent="0.25">
      <c r="A39" s="28"/>
      <c r="B39" s="48" t="s">
        <v>21</v>
      </c>
      <c r="C39" s="49"/>
      <c r="D39" s="49"/>
      <c r="E39" s="49"/>
      <c r="F39" s="49"/>
      <c r="G39" s="27">
        <f>G38-G36</f>
        <v>75</v>
      </c>
      <c r="H39" s="16" t="s">
        <v>14</v>
      </c>
    </row>
    <row r="40" spans="1:8" ht="15" customHeight="1" x14ac:dyDescent="0.25">
      <c r="A40" s="61" t="s">
        <v>58</v>
      </c>
      <c r="B40" s="8" t="s">
        <v>6</v>
      </c>
      <c r="C40" s="8" t="s">
        <v>7</v>
      </c>
      <c r="D40" s="9" t="s">
        <v>8</v>
      </c>
      <c r="E40" s="9" t="s">
        <v>9</v>
      </c>
      <c r="F40" s="10" t="s">
        <v>10</v>
      </c>
      <c r="G40" s="29" t="s">
        <v>11</v>
      </c>
      <c r="H40" s="29" t="s">
        <v>12</v>
      </c>
    </row>
    <row r="41" spans="1:8" ht="15" customHeight="1" x14ac:dyDescent="0.25">
      <c r="A41" s="12"/>
      <c r="B41" s="59" t="s">
        <v>60</v>
      </c>
      <c r="C41" s="60" t="s">
        <v>56</v>
      </c>
      <c r="D41" s="64" t="s">
        <v>65</v>
      </c>
      <c r="E41" s="14">
        <v>1</v>
      </c>
      <c r="F41">
        <v>30</v>
      </c>
      <c r="G41" s="15">
        <f>E41*F41</f>
        <v>30</v>
      </c>
      <c r="H41" s="16" t="s">
        <v>14</v>
      </c>
    </row>
    <row r="42" spans="1:8" ht="15" customHeight="1" x14ac:dyDescent="0.25">
      <c r="A42" s="12"/>
      <c r="B42" s="47" t="s">
        <v>16</v>
      </c>
      <c r="C42" s="43"/>
      <c r="D42" s="43"/>
      <c r="E42" s="43"/>
      <c r="F42" s="43"/>
      <c r="G42" s="15">
        <f>SUM(G40:G41)</f>
        <v>30</v>
      </c>
      <c r="H42" s="16" t="s">
        <v>14</v>
      </c>
    </row>
    <row r="43" spans="1:8" ht="15" customHeight="1" x14ac:dyDescent="0.25">
      <c r="A43" s="12"/>
      <c r="B43" s="47" t="s">
        <v>17</v>
      </c>
      <c r="C43" s="43"/>
      <c r="D43" s="43"/>
      <c r="E43" s="43"/>
      <c r="F43" s="43"/>
      <c r="G43" s="22">
        <v>0.25</v>
      </c>
      <c r="H43" s="22"/>
    </row>
    <row r="44" spans="1:8" ht="15" customHeight="1" x14ac:dyDescent="0.25">
      <c r="A44" s="12"/>
      <c r="B44" s="67" t="s">
        <v>73</v>
      </c>
      <c r="C44" s="43"/>
      <c r="D44" s="43"/>
      <c r="E44" s="43"/>
      <c r="F44" s="43"/>
      <c r="G44" s="15">
        <f>G42*(1+G43)</f>
        <v>37.5</v>
      </c>
      <c r="H44" s="16" t="s">
        <v>14</v>
      </c>
    </row>
    <row r="45" spans="1:8" ht="15" customHeight="1" x14ac:dyDescent="0.25">
      <c r="A45" s="24"/>
      <c r="B45" s="17"/>
      <c r="D45" s="13"/>
      <c r="E45" s="14"/>
      <c r="G45" s="15"/>
      <c r="H45" s="20"/>
    </row>
    <row r="46" spans="1:8" ht="15" customHeight="1" x14ac:dyDescent="0.25">
      <c r="A46" s="24" t="s">
        <v>24</v>
      </c>
      <c r="B46" s="60" t="s">
        <v>76</v>
      </c>
      <c r="C46" s="59" t="s">
        <v>74</v>
      </c>
      <c r="D46" s="64" t="s">
        <v>75</v>
      </c>
      <c r="E46" s="14">
        <v>1</v>
      </c>
      <c r="F46" s="66">
        <v>200</v>
      </c>
      <c r="G46" s="15">
        <f>E46*F46</f>
        <v>200</v>
      </c>
      <c r="H46" s="16" t="s">
        <v>14</v>
      </c>
    </row>
    <row r="47" spans="1:8" ht="15" customHeight="1" x14ac:dyDescent="0.25">
      <c r="A47" s="12"/>
      <c r="B47" s="50" t="s">
        <v>25</v>
      </c>
      <c r="C47" s="43"/>
      <c r="D47" s="43"/>
      <c r="E47" s="43"/>
      <c r="F47" s="43"/>
      <c r="G47" s="27">
        <f>G46-G44</f>
        <v>162.5</v>
      </c>
      <c r="H47" s="16" t="s">
        <v>14</v>
      </c>
    </row>
    <row r="48" spans="1:8" ht="15" customHeight="1" x14ac:dyDescent="0.25">
      <c r="A48" s="30"/>
      <c r="B48" s="31"/>
      <c r="C48" s="31"/>
      <c r="D48" s="31"/>
      <c r="E48" s="31"/>
      <c r="F48" s="31"/>
      <c r="G48" s="32"/>
      <c r="H48" s="33"/>
    </row>
    <row r="49" spans="1:8" ht="29.25" customHeight="1" x14ac:dyDescent="0.25">
      <c r="A49" s="44" t="s">
        <v>26</v>
      </c>
      <c r="B49" s="45"/>
      <c r="C49" s="45"/>
      <c r="D49" s="45"/>
      <c r="E49" s="45"/>
      <c r="F49" s="45"/>
      <c r="G49" s="45"/>
      <c r="H49" s="46"/>
    </row>
    <row r="50" spans="1:8" ht="15" customHeight="1" x14ac:dyDescent="0.25">
      <c r="A50" s="51"/>
      <c r="B50" s="49"/>
      <c r="C50" s="49"/>
      <c r="D50" s="49"/>
      <c r="E50" s="49"/>
      <c r="F50" s="49"/>
      <c r="G50" s="49"/>
      <c r="H50" s="52"/>
    </row>
    <row r="51" spans="1:8" ht="15" customHeight="1" x14ac:dyDescent="0.25">
      <c r="A51" s="44" t="s">
        <v>27</v>
      </c>
      <c r="B51" s="45"/>
      <c r="C51" s="45"/>
      <c r="D51" s="45"/>
      <c r="E51" s="45"/>
      <c r="F51" s="45"/>
      <c r="G51" s="45"/>
      <c r="H51" s="46"/>
    </row>
    <row r="52" spans="1:8" ht="15" customHeight="1" x14ac:dyDescent="0.25">
      <c r="A52" s="21" t="s">
        <v>28</v>
      </c>
      <c r="B52" s="8" t="s">
        <v>6</v>
      </c>
      <c r="C52" s="8" t="s">
        <v>7</v>
      </c>
      <c r="D52" s="9" t="s">
        <v>8</v>
      </c>
      <c r="E52" s="34" t="s">
        <v>29</v>
      </c>
      <c r="F52" s="10" t="s">
        <v>10</v>
      </c>
      <c r="G52" s="29" t="s">
        <v>11</v>
      </c>
      <c r="H52" s="29" t="s">
        <v>12</v>
      </c>
    </row>
    <row r="53" spans="1:8" ht="15" customHeight="1" x14ac:dyDescent="0.25">
      <c r="A53" s="35" t="s">
        <v>30</v>
      </c>
      <c r="B53" s="25" t="s">
        <v>31</v>
      </c>
      <c r="C53" s="63" t="s">
        <v>48</v>
      </c>
      <c r="D53" s="13" t="s">
        <v>32</v>
      </c>
      <c r="E53" s="64" t="s">
        <v>37</v>
      </c>
      <c r="F53" s="26">
        <v>3000</v>
      </c>
      <c r="G53" s="15">
        <f>F53</f>
        <v>3000</v>
      </c>
      <c r="H53" s="37" t="s">
        <v>14</v>
      </c>
    </row>
    <row r="54" spans="1:8" ht="15" customHeight="1" x14ac:dyDescent="0.25">
      <c r="A54" s="38"/>
      <c r="B54" s="25"/>
      <c r="C54" s="25"/>
      <c r="D54" s="13"/>
      <c r="E54" s="13"/>
      <c r="F54" s="26"/>
      <c r="G54" s="27"/>
      <c r="H54" s="39"/>
    </row>
    <row r="55" spans="1:8" ht="15" customHeight="1" x14ac:dyDescent="0.25">
      <c r="A55" s="55" t="s">
        <v>33</v>
      </c>
      <c r="B55" s="65" t="s">
        <v>78</v>
      </c>
      <c r="C55" s="62" t="s">
        <v>52</v>
      </c>
      <c r="D55" s="64" t="s">
        <v>67</v>
      </c>
      <c r="E55" s="13">
        <v>1</v>
      </c>
      <c r="F55" s="26">
        <v>1000</v>
      </c>
      <c r="G55" s="27">
        <f t="shared" ref="G55:G57" si="2">E55*F55</f>
        <v>1000</v>
      </c>
      <c r="H55" s="16" t="s">
        <v>14</v>
      </c>
    </row>
    <row r="56" spans="1:8" ht="15" customHeight="1" x14ac:dyDescent="0.25">
      <c r="A56" s="56"/>
      <c r="B56" s="25"/>
      <c r="C56" s="25"/>
      <c r="D56" s="13"/>
      <c r="E56" s="13"/>
      <c r="F56" s="26"/>
      <c r="G56" s="27">
        <f t="shared" si="2"/>
        <v>0</v>
      </c>
      <c r="H56" s="16" t="s">
        <v>14</v>
      </c>
    </row>
    <row r="57" spans="1:8" ht="15" customHeight="1" x14ac:dyDescent="0.25">
      <c r="A57" s="56"/>
      <c r="B57" s="17"/>
      <c r="D57" s="13"/>
      <c r="E57" s="14"/>
      <c r="G57" s="15">
        <f t="shared" si="2"/>
        <v>0</v>
      </c>
      <c r="H57" s="16" t="s">
        <v>14</v>
      </c>
    </row>
    <row r="58" spans="1:8" ht="15" customHeight="1" x14ac:dyDescent="0.25">
      <c r="A58" s="38"/>
      <c r="B58" s="50" t="s">
        <v>34</v>
      </c>
      <c r="C58" s="43"/>
      <c r="D58" s="43"/>
      <c r="E58" s="43"/>
      <c r="F58" s="43"/>
      <c r="G58" s="36">
        <f>G53-SUM(G55:G57)</f>
        <v>2000</v>
      </c>
      <c r="H58" s="37" t="s">
        <v>14</v>
      </c>
    </row>
    <row r="59" spans="1:8" ht="15" customHeight="1" x14ac:dyDescent="0.25">
      <c r="A59" s="38"/>
      <c r="B59" s="3"/>
      <c r="C59" s="3"/>
      <c r="D59" s="19"/>
      <c r="E59" s="19"/>
      <c r="F59" s="19"/>
      <c r="G59" s="40"/>
      <c r="H59" s="41"/>
    </row>
    <row r="60" spans="1:8" ht="15" customHeight="1" x14ac:dyDescent="0.25">
      <c r="A60" s="21" t="s">
        <v>35</v>
      </c>
      <c r="B60" s="8" t="s">
        <v>6</v>
      </c>
      <c r="C60" s="8" t="s">
        <v>7</v>
      </c>
      <c r="D60" s="9" t="s">
        <v>8</v>
      </c>
      <c r="E60" s="34" t="s">
        <v>29</v>
      </c>
      <c r="F60" s="10" t="s">
        <v>10</v>
      </c>
      <c r="G60" s="29" t="s">
        <v>11</v>
      </c>
      <c r="H60" s="29" t="s">
        <v>12</v>
      </c>
    </row>
    <row r="61" spans="1:8" ht="15" customHeight="1" x14ac:dyDescent="0.25">
      <c r="A61" s="35" t="s">
        <v>36</v>
      </c>
      <c r="B61" s="65" t="s">
        <v>66</v>
      </c>
      <c r="C61" s="13" t="s">
        <v>13</v>
      </c>
      <c r="D61" s="64" t="s">
        <v>41</v>
      </c>
      <c r="E61" s="13" t="s">
        <v>38</v>
      </c>
      <c r="F61" s="26">
        <v>1000</v>
      </c>
      <c r="G61" s="36">
        <f>F61</f>
        <v>1000</v>
      </c>
      <c r="H61" s="37" t="s">
        <v>14</v>
      </c>
    </row>
    <row r="62" spans="1:8" ht="15" customHeight="1" x14ac:dyDescent="0.25">
      <c r="A62" s="38"/>
      <c r="B62" s="25"/>
      <c r="C62" s="25"/>
      <c r="D62" s="13"/>
      <c r="E62" s="13"/>
      <c r="F62" s="26"/>
      <c r="G62" s="27"/>
      <c r="H62" s="39"/>
    </row>
    <row r="63" spans="1:8" ht="15" customHeight="1" x14ac:dyDescent="0.25">
      <c r="A63" s="55" t="s">
        <v>39</v>
      </c>
      <c r="B63" s="65" t="s">
        <v>78</v>
      </c>
      <c r="C63" s="62" t="s">
        <v>52</v>
      </c>
      <c r="D63" s="64" t="s">
        <v>67</v>
      </c>
      <c r="E63" s="13">
        <v>1</v>
      </c>
      <c r="F63" s="26">
        <v>1000</v>
      </c>
      <c r="G63" s="27">
        <f>E63*F63</f>
        <v>1000</v>
      </c>
      <c r="H63" s="16" t="s">
        <v>14</v>
      </c>
    </row>
    <row r="64" spans="1:8" ht="15" customHeight="1" x14ac:dyDescent="0.25">
      <c r="A64" s="56"/>
      <c r="B64" s="25"/>
      <c r="C64" s="25"/>
      <c r="D64" s="13"/>
      <c r="E64" s="13"/>
      <c r="F64" s="26"/>
      <c r="G64" s="27"/>
      <c r="H64" s="16"/>
    </row>
    <row r="65" spans="1:8" ht="15" customHeight="1" x14ac:dyDescent="0.25">
      <c r="A65" s="56"/>
      <c r="B65" s="17"/>
      <c r="D65" s="13"/>
      <c r="E65" s="14"/>
      <c r="G65" s="15"/>
      <c r="H65" s="16"/>
    </row>
    <row r="66" spans="1:8" ht="15" customHeight="1" x14ac:dyDescent="0.25">
      <c r="A66" s="38"/>
      <c r="B66" s="50" t="s">
        <v>40</v>
      </c>
      <c r="C66" s="43"/>
      <c r="D66" s="43"/>
      <c r="E66" s="43"/>
      <c r="F66" s="43"/>
      <c r="G66" s="36">
        <f>G61-SUM(G63:G65)</f>
        <v>0</v>
      </c>
      <c r="H66" s="37" t="s">
        <v>14</v>
      </c>
    </row>
    <row r="67" spans="1:8" ht="15" customHeight="1" x14ac:dyDescent="0.25">
      <c r="A67" s="68"/>
      <c r="B67" s="69"/>
      <c r="C67" s="70"/>
      <c r="D67" s="71"/>
      <c r="E67" s="72"/>
      <c r="F67" s="69"/>
      <c r="G67" s="73"/>
      <c r="H67" s="74"/>
    </row>
    <row r="68" spans="1:8" ht="15" customHeight="1" x14ac:dyDescent="0.25">
      <c r="A68" s="57" t="s">
        <v>42</v>
      </c>
      <c r="B68" s="43"/>
      <c r="C68" s="43"/>
      <c r="D68" s="43"/>
      <c r="E68" s="43"/>
      <c r="F68" s="43"/>
      <c r="G68" s="42"/>
      <c r="H68" s="42"/>
    </row>
    <row r="69" spans="1:8" ht="15" customHeight="1" x14ac:dyDescent="0.25">
      <c r="A69" s="53" t="s">
        <v>43</v>
      </c>
      <c r="B69" s="43"/>
      <c r="C69" s="43"/>
      <c r="D69" s="43"/>
      <c r="E69" s="43"/>
      <c r="F69" s="43"/>
      <c r="G69" s="43"/>
      <c r="H69" s="43"/>
    </row>
    <row r="70" spans="1:8" ht="15" customHeight="1" x14ac:dyDescent="0.25">
      <c r="A70" s="54" t="s">
        <v>44</v>
      </c>
      <c r="B70" s="43"/>
      <c r="C70" s="43"/>
      <c r="D70" s="43"/>
      <c r="E70" s="43"/>
      <c r="F70" s="43"/>
      <c r="G70" s="43"/>
      <c r="H70" s="43"/>
    </row>
    <row r="71" spans="1:8" ht="15" customHeight="1" x14ac:dyDescent="0.25"/>
    <row r="72" spans="1:8" ht="15" customHeight="1" x14ac:dyDescent="0.25"/>
    <row r="73" spans="1:8" ht="15" customHeight="1" x14ac:dyDescent="0.25"/>
    <row r="74" spans="1:8" ht="15" customHeight="1" x14ac:dyDescent="0.25"/>
    <row r="75" spans="1:8" ht="15" customHeight="1" x14ac:dyDescent="0.25"/>
    <row r="76" spans="1:8" ht="15" customHeight="1" x14ac:dyDescent="0.25"/>
    <row r="77" spans="1:8" ht="15" customHeight="1" x14ac:dyDescent="0.25"/>
    <row r="78" spans="1:8" ht="15" customHeight="1" x14ac:dyDescent="0.25"/>
    <row r="79" spans="1:8" ht="15" customHeight="1" x14ac:dyDescent="0.25"/>
    <row r="80" spans="1:8" ht="15" customHeight="1" x14ac:dyDescent="0.25"/>
    <row r="81" ht="15" customHeight="1" x14ac:dyDescent="0.25"/>
    <row r="82" ht="15" customHeight="1" x14ac:dyDescent="0.25"/>
  </sheetData>
  <mergeCells count="25">
    <mergeCell ref="A50:H50"/>
    <mergeCell ref="A69:H69"/>
    <mergeCell ref="A70:H70"/>
    <mergeCell ref="A51:H51"/>
    <mergeCell ref="A55:A57"/>
    <mergeCell ref="B58:F58"/>
    <mergeCell ref="A63:A65"/>
    <mergeCell ref="B66:F66"/>
    <mergeCell ref="A68:F68"/>
    <mergeCell ref="B42:F42"/>
    <mergeCell ref="B43:F43"/>
    <mergeCell ref="B44:F44"/>
    <mergeCell ref="B47:F47"/>
    <mergeCell ref="A49:H49"/>
    <mergeCell ref="B31:F31"/>
    <mergeCell ref="B34:F34"/>
    <mergeCell ref="B35:F35"/>
    <mergeCell ref="B36:F36"/>
    <mergeCell ref="B39:F39"/>
    <mergeCell ref="B26:F26"/>
    <mergeCell ref="B27:F27"/>
    <mergeCell ref="B28:F28"/>
    <mergeCell ref="A1:H1"/>
    <mergeCell ref="A7:H7"/>
    <mergeCell ref="A19:H19"/>
  </mergeCells>
  <conditionalFormatting sqref="G31 G39 G47">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Castro</dc:creator>
  <cp:lastModifiedBy>Manuel Castro (Student)</cp:lastModifiedBy>
  <dcterms:created xsi:type="dcterms:W3CDTF">2026-05-04T06:55:06Z</dcterms:created>
  <dcterms:modified xsi:type="dcterms:W3CDTF">2026-05-04T06:55:06Z</dcterms:modified>
</cp:coreProperties>
</file>